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7_Python_Projects\007_Customer_Churn_Prediction\"/>
    </mc:Choice>
  </mc:AlternateContent>
  <xr:revisionPtr revIDLastSave="0" documentId="13_ncr:1_{F89647B5-6F38-4AB8-9044-C1C4B1489A3B}" xr6:coauthVersionLast="47" xr6:coauthVersionMax="47" xr10:uidLastSave="{00000000-0000-0000-0000-000000000000}"/>
  <bookViews>
    <workbookView xWindow="990" yWindow="-120" windowWidth="27930" windowHeight="16440" activeTab="1" xr2:uid="{082229EB-2B97-4FC4-83BB-267830768E3D}"/>
  </bookViews>
  <sheets>
    <sheet name="Sheet1" sheetId="1" r:id="rId1"/>
    <sheet name="Sheet2" sheetId="2" r:id="rId2"/>
  </sheets>
  <definedNames>
    <definedName name="_xlnm._FilterDatabase" localSheetId="1" hidden="1">Sheet2!$B$3:$U$20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2" l="1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5" i="2"/>
  <c r="Y6" i="2"/>
  <c r="Y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4" i="2"/>
  <c r="L5" i="2"/>
  <c r="Q5" i="2" s="1"/>
  <c r="L6" i="2"/>
  <c r="Q6" i="2" s="1"/>
  <c r="L7" i="2"/>
  <c r="W7" i="2" s="1"/>
  <c r="L8" i="2"/>
  <c r="W8" i="2" s="1"/>
  <c r="L9" i="2"/>
  <c r="Q9" i="2" s="1"/>
  <c r="L10" i="2"/>
  <c r="Q10" i="2" s="1"/>
  <c r="U10" i="2" s="1"/>
  <c r="L11" i="2"/>
  <c r="W11" i="2" s="1"/>
  <c r="L12" i="2"/>
  <c r="Q12" i="2" s="1"/>
  <c r="L13" i="2"/>
  <c r="Q13" i="2" s="1"/>
  <c r="S13" i="2" s="1"/>
  <c r="L14" i="2"/>
  <c r="Q14" i="2" s="1"/>
  <c r="U14" i="2" s="1"/>
  <c r="L15" i="2"/>
  <c r="Q15" i="2" s="1"/>
  <c r="L16" i="2"/>
  <c r="Q16" i="2" s="1"/>
  <c r="L17" i="2"/>
  <c r="Q17" i="2" s="1"/>
  <c r="L18" i="2"/>
  <c r="Q18" i="2" s="1"/>
  <c r="L19" i="2"/>
  <c r="Q19" i="2" s="1"/>
  <c r="L20" i="2"/>
  <c r="Q20" i="2" s="1"/>
  <c r="S20" i="2" s="1"/>
  <c r="L4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U13" i="2" l="1"/>
  <c r="W13" i="2"/>
  <c r="W20" i="2"/>
  <c r="U20" i="2"/>
  <c r="Q4" i="2"/>
  <c r="U4" i="2" s="1"/>
  <c r="U5" i="2"/>
  <c r="U19" i="2"/>
  <c r="U18" i="2"/>
  <c r="Q11" i="2"/>
  <c r="U6" i="2"/>
  <c r="U17" i="2"/>
  <c r="U16" i="2"/>
  <c r="Q8" i="2"/>
  <c r="Q7" i="2"/>
  <c r="U15" i="2"/>
  <c r="U12" i="2"/>
  <c r="U9" i="2"/>
  <c r="S7" i="2" l="1"/>
  <c r="U7" i="2" s="1"/>
  <c r="S8" i="2"/>
  <c r="U8" i="2" s="1"/>
  <c r="S11" i="2"/>
  <c r="U11" i="2" s="1"/>
</calcChain>
</file>

<file path=xl/sharedStrings.xml><?xml version="1.0" encoding="utf-8"?>
<sst xmlns="http://schemas.openxmlformats.org/spreadsheetml/2006/main" count="257" uniqueCount="61">
  <si>
    <t>N_Days</t>
  </si>
  <si>
    <t>Status</t>
  </si>
  <si>
    <t>D</t>
  </si>
  <si>
    <t>Drug</t>
  </si>
  <si>
    <t>D-penicillamine</t>
  </si>
  <si>
    <t>Age</t>
  </si>
  <si>
    <t>Sex</t>
  </si>
  <si>
    <t>F</t>
  </si>
  <si>
    <t>Ascites</t>
  </si>
  <si>
    <t>Y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</si>
  <si>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</si>
  <si>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</si>
  <si>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</si>
  <si>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</si>
  <si>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</si>
  <si>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</si>
  <si>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</si>
  <si>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</si>
  <si>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</si>
  <si>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</si>
  <si>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</si>
  <si>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</si>
  <si>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Type</t>
  </si>
  <si>
    <t>min</t>
  </si>
  <si>
    <t>"</t>
  </si>
  <si>
    <t>:</t>
  </si>
  <si>
    <t>,</t>
  </si>
  <si>
    <t>=</t>
  </si>
  <si>
    <t>(</t>
  </si>
  <si>
    <t>",</t>
  </si>
  <si>
    <t>)</t>
  </si>
  <si>
    <t>st.selectbox</t>
  </si>
  <si>
    <t>label_encoder.classes_</t>
  </si>
  <si>
    <t>Parameter</t>
  </si>
  <si>
    <t>Value</t>
  </si>
  <si>
    <t>Text Double Quote</t>
  </si>
  <si>
    <t>Input Value</t>
  </si>
  <si>
    <t>Tenure</t>
  </si>
  <si>
    <t>City_Tier</t>
  </si>
  <si>
    <t>CC_Contacted_LY</t>
  </si>
  <si>
    <t>Payment</t>
  </si>
  <si>
    <t>Gender</t>
  </si>
  <si>
    <t>Service_Score</t>
  </si>
  <si>
    <t>Account_user_count</t>
  </si>
  <si>
    <t>account_segment</t>
  </si>
  <si>
    <t>CC_Agent_Score</t>
  </si>
  <si>
    <t>Marital_Status</t>
  </si>
  <si>
    <t>rev_per_month</t>
  </si>
  <si>
    <t>Complain_ly</t>
  </si>
  <si>
    <t>rev_growth_yoy</t>
  </si>
  <si>
    <t>coupon_used_for_payment</t>
  </si>
  <si>
    <t>Day_Since_CC_connect</t>
  </si>
  <si>
    <t>cashback</t>
  </si>
  <si>
    <t>Login_device</t>
  </si>
  <si>
    <t>Debit Card</t>
  </si>
  <si>
    <t>Female</t>
  </si>
  <si>
    <t>Super</t>
  </si>
  <si>
    <t>Single</t>
  </si>
  <si>
    <t>Mobile</t>
  </si>
  <si>
    <t>st.number_input</t>
  </si>
  <si>
    <t>_encoded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</si>
</sst>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1" applyNumberFormat="0" applyAlignment="0" applyProtection="0"/>
  </cellStyleXfs>
  <cellXfs count="10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0" fontId="0" fillId="0" borderId="2" xfId="0" applyBorder="1"/>
    <xf numFmtId="1" fontId="0" fillId="0" borderId="2" xfId="0" applyNumberFormat="1" applyBorder="1"/>
    <xf numFmtId="0" fontId="2" fillId="4" borderId="1" xfId="1" quotePrefix="1"/>
    <xf numFmtId="0" fontId="2" fillId="4" borderId="1" xfId="1"/>
  </cellXfs>
  <cellStyles count="2">
    <cellStyle name="Calculation" xfId="1" builtinId="22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A576-E926-44BA-BB39-40D5FBECC585}">
  <dimension ref="B3:D20"/>
  <sheetViews>
    <sheetView workbookViewId="0">
      <selection activeCell="D3" sqref="D3:D20"/>
    </sheetView>
  </sheetViews>
  <sheetFormatPr defaultRowHeight="15" x14ac:dyDescent="0.25"/>
  <cols>
    <col min="2" max="2" width="13.7109375" bestFit="1" customWidth="1"/>
  </cols>
  <sheetData>
    <row r="3" spans="2:4" x14ac:dyDescent="0.25">
      <c r="B3" t="s">
        <v>0</v>
      </c>
      <c r="D3">
        <v>400</v>
      </c>
    </row>
    <row r="4" spans="2:4" x14ac:dyDescent="0.25">
      <c r="B4" t="s">
        <v>1</v>
      </c>
      <c r="D4" t="s">
        <v>2</v>
      </c>
    </row>
    <row r="5" spans="2:4" x14ac:dyDescent="0.25">
      <c r="B5" t="s">
        <v>3</v>
      </c>
      <c r="D5" t="s">
        <v>4</v>
      </c>
    </row>
    <row r="6" spans="2:4" x14ac:dyDescent="0.25">
      <c r="B6" t="s">
        <v>5</v>
      </c>
      <c r="D6">
        <v>21464</v>
      </c>
    </row>
    <row r="7" spans="2:4" x14ac:dyDescent="0.25">
      <c r="B7" t="s">
        <v>6</v>
      </c>
      <c r="D7" t="s">
        <v>7</v>
      </c>
    </row>
    <row r="8" spans="2:4" x14ac:dyDescent="0.25">
      <c r="B8" t="s">
        <v>8</v>
      </c>
      <c r="D8" t="s">
        <v>9</v>
      </c>
    </row>
    <row r="9" spans="2:4" x14ac:dyDescent="0.25">
      <c r="B9" t="s">
        <v>10</v>
      </c>
      <c r="D9" t="s">
        <v>9</v>
      </c>
    </row>
    <row r="10" spans="2:4" x14ac:dyDescent="0.25">
      <c r="B10" t="s">
        <v>11</v>
      </c>
      <c r="D10" t="s">
        <v>9</v>
      </c>
    </row>
    <row r="11" spans="2:4" x14ac:dyDescent="0.25">
      <c r="B11" t="s">
        <v>12</v>
      </c>
      <c r="D11" t="s">
        <v>9</v>
      </c>
    </row>
    <row r="12" spans="2:4" x14ac:dyDescent="0.25">
      <c r="B12" t="s">
        <v>13</v>
      </c>
      <c r="D12">
        <v>14.5</v>
      </c>
    </row>
    <row r="13" spans="2:4" x14ac:dyDescent="0.25">
      <c r="B13" t="s">
        <v>14</v>
      </c>
      <c r="D13">
        <v>261</v>
      </c>
    </row>
    <row r="14" spans="2:4" x14ac:dyDescent="0.25">
      <c r="B14" t="s">
        <v>15</v>
      </c>
      <c r="D14">
        <v>2.6</v>
      </c>
    </row>
    <row r="15" spans="2:4" x14ac:dyDescent="0.25">
      <c r="B15" t="s">
        <v>16</v>
      </c>
      <c r="D15">
        <v>156</v>
      </c>
    </row>
    <row r="16" spans="2:4" x14ac:dyDescent="0.25">
      <c r="B16" t="s">
        <v>17</v>
      </c>
      <c r="D16">
        <v>1718</v>
      </c>
    </row>
    <row r="17" spans="2:4" x14ac:dyDescent="0.25">
      <c r="B17" t="s">
        <v>18</v>
      </c>
      <c r="D17">
        <v>137.94999999999999</v>
      </c>
    </row>
    <row r="18" spans="2:4" x14ac:dyDescent="0.25">
      <c r="B18" t="s">
        <v>19</v>
      </c>
      <c r="D18">
        <v>172</v>
      </c>
    </row>
    <row r="19" spans="2:4" x14ac:dyDescent="0.25">
      <c r="B19" t="s">
        <v>20</v>
      </c>
      <c r="D19">
        <v>190</v>
      </c>
    </row>
    <row r="20" spans="2:4" x14ac:dyDescent="0.25">
      <c r="B20" t="s">
        <v>21</v>
      </c>
      <c r="D20">
        <v>12.2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EFC4-9E9D-489C-97DC-867C34F2444E}">
  <dimension ref="B3:Z30"/>
  <sheetViews>
    <sheetView tabSelected="1" zoomScaleNormal="100" workbookViewId="0">
      <selection activeCell="C10" sqref="C10"/>
    </sheetView>
  </sheetViews>
  <sheetFormatPr defaultRowHeight="15" x14ac:dyDescent="0.25"/>
  <cols>
    <col min="3" max="3" width="22.140625" bestFit="1" customWidth="1"/>
    <col min="6" max="6" width="20.42578125" style="3" bestFit="1" customWidth="1"/>
    <col min="7" max="7" width="15.28515625" bestFit="1" customWidth="1"/>
    <col min="8" max="8" width="20.140625" style="3" customWidth="1"/>
    <col min="10" max="10" width="28.85546875" bestFit="1" customWidth="1"/>
    <col min="12" max="12" width="25" bestFit="1" customWidth="1"/>
    <col min="14" max="14" width="11.42578125" bestFit="1" customWidth="1"/>
    <col min="17" max="17" width="25.7109375" bestFit="1" customWidth="1"/>
    <col min="19" max="19" width="39.140625" bestFit="1" customWidth="1"/>
    <col min="21" max="21" width="86.42578125" bestFit="1" customWidth="1"/>
    <col min="22" max="22" width="9.42578125" bestFit="1" customWidth="1"/>
    <col min="23" max="23" width="94.85546875" bestFit="1" customWidth="1"/>
    <col min="24" max="24" width="25" bestFit="1" customWidth="1"/>
    <col min="25" max="25" width="27.7109375" bestFit="1" customWidth="1"/>
  </cols>
  <sheetData>
    <row r="3" spans="2:26" s="4" customFormat="1" x14ac:dyDescent="0.25">
      <c r="C3" s="4" t="s">
        <v>33</v>
      </c>
      <c r="F3" s="5" t="s">
        <v>35</v>
      </c>
      <c r="G3" s="4" t="s">
        <v>34</v>
      </c>
      <c r="H3" s="5" t="s">
        <v>35</v>
      </c>
      <c r="J3" s="5" t="s">
        <v>36</v>
      </c>
      <c r="N3" s="4" t="s">
        <v>22</v>
      </c>
      <c r="S3" s="4" t="s">
        <v>23</v>
      </c>
    </row>
    <row r="4" spans="2:26" x14ac:dyDescent="0.25">
      <c r="B4" s="1" t="s">
        <v>24</v>
      </c>
      <c r="C4" s="2" t="s">
        <v>37</v>
      </c>
      <c r="D4" s="1" t="s">
        <v>24</v>
      </c>
      <c r="E4" t="s">
        <v>25</v>
      </c>
      <c r="G4" s="6">
        <v>4</v>
      </c>
      <c r="I4" t="s">
        <v>26</v>
      </c>
      <c r="J4" s="9" t="str">
        <f>_xlfn.CONCAT(B4:I4)</f>
        <v>"Tenure":4,</v>
      </c>
      <c r="L4" s="8" t="str">
        <f>C4</f>
        <v>Tenure</v>
      </c>
      <c r="M4" t="s">
        <v>27</v>
      </c>
      <c r="N4" t="s">
        <v>59</v>
      </c>
      <c r="O4" t="s">
        <v>28</v>
      </c>
      <c r="P4" t="s">
        <v>24</v>
      </c>
      <c r="Q4" s="8" t="str">
        <f>L4</f>
        <v>Tenure</v>
      </c>
      <c r="R4" t="s">
        <v>29</v>
      </c>
      <c r="T4" t="s">
        <v>30</v>
      </c>
      <c r="U4" t="str">
        <f>_xlfn.CONCAT(L4:T4)</f>
        <v>Tenure=st.number_input("Tenure",)</v>
      </c>
      <c r="X4" t="str">
        <f>_xlfn.CONCAT(B4:E4)</f>
        <v>"Tenure":</v>
      </c>
      <c r="Y4" t="str">
        <f>C4</f>
        <v>Tenure</v>
      </c>
      <c r="Z4" t="s">
        <v>26</v>
      </c>
    </row>
    <row r="5" spans="2:26" x14ac:dyDescent="0.25">
      <c r="B5" s="1" t="s">
        <v>24</v>
      </c>
      <c r="C5" s="2" t="s">
        <v>38</v>
      </c>
      <c r="D5" s="1" t="s">
        <v>24</v>
      </c>
      <c r="E5" t="s">
        <v>25</v>
      </c>
      <c r="G5" s="6">
        <v>3</v>
      </c>
      <c r="I5" t="s">
        <v>26</v>
      </c>
      <c r="J5" s="9" t="str">
        <f>_xlfn.CONCAT(B5:I5)</f>
        <v>"City_Tier":3,</v>
      </c>
      <c r="L5" s="8" t="str">
        <f>C5</f>
        <v>City_Tier</v>
      </c>
      <c r="M5" t="s">
        <v>27</v>
      </c>
      <c r="N5" t="s">
        <v>59</v>
      </c>
      <c r="O5" t="s">
        <v>28</v>
      </c>
      <c r="P5" t="s">
        <v>24</v>
      </c>
      <c r="Q5" s="8" t="str">
        <f t="shared" ref="Q5:Q20" si="0">L5</f>
        <v>City_Tier</v>
      </c>
      <c r="R5" t="s">
        <v>29</v>
      </c>
      <c r="T5" t="s">
        <v>30</v>
      </c>
      <c r="U5" t="str">
        <f>_xlfn.CONCAT(L5:T5)</f>
        <v>City_Tier=st.number_input("City_Tier",)</v>
      </c>
      <c r="X5" t="str">
        <f>_xlfn.CONCAT(B5:E5)</f>
        <v>"City_Tier":</v>
      </c>
      <c r="Y5" t="str">
        <f t="shared" ref="Y5:Y6" si="1">C5</f>
        <v>City_Tier</v>
      </c>
      <c r="Z5" t="s">
        <v>26</v>
      </c>
    </row>
    <row r="6" spans="2:26" x14ac:dyDescent="0.25">
      <c r="B6" s="1" t="s">
        <v>24</v>
      </c>
      <c r="C6" s="2" t="s">
        <v>39</v>
      </c>
      <c r="D6" s="1" t="s">
        <v>24</v>
      </c>
      <c r="E6" t="s">
        <v>25</v>
      </c>
      <c r="G6" s="6">
        <v>6</v>
      </c>
      <c r="I6" t="s">
        <v>26</v>
      </c>
      <c r="J6" s="9" t="str">
        <f>_xlfn.CONCAT(B6:I6)</f>
        <v>"CC_Contacted_LY":6,</v>
      </c>
      <c r="L6" s="8" t="str">
        <f>C6</f>
        <v>CC_Contacted_LY</v>
      </c>
      <c r="M6" t="s">
        <v>27</v>
      </c>
      <c r="N6" t="s">
        <v>59</v>
      </c>
      <c r="O6" t="s">
        <v>28</v>
      </c>
      <c r="P6" t="s">
        <v>24</v>
      </c>
      <c r="Q6" s="8" t="str">
        <f t="shared" si="0"/>
        <v>CC_Contacted_LY</v>
      </c>
      <c r="R6" t="s">
        <v>29</v>
      </c>
      <c r="T6" t="s">
        <v>30</v>
      </c>
      <c r="U6" t="str">
        <f>_xlfn.CONCAT(L6:T6)</f>
        <v>CC_Contacted_LY=st.number_input("CC_Contacted_LY",)</v>
      </c>
      <c r="X6" t="str">
        <f>_xlfn.CONCAT(B6:E6)</f>
        <v>"CC_Contacted_LY":</v>
      </c>
      <c r="Y6" t="str">
        <f t="shared" si="1"/>
        <v>CC_Contacted_LY</v>
      </c>
      <c r="Z6" t="s">
        <v>26</v>
      </c>
    </row>
    <row r="7" spans="2:26" x14ac:dyDescent="0.25">
      <c r="B7" s="1" t="s">
        <v>24</v>
      </c>
      <c r="C7" s="2" t="s">
        <v>40</v>
      </c>
      <c r="D7" s="1" t="s">
        <v>24</v>
      </c>
      <c r="E7" t="s">
        <v>25</v>
      </c>
      <c r="F7" s="3" t="s">
        <v>24</v>
      </c>
      <c r="G7" s="6" t="s">
        <v>54</v>
      </c>
      <c r="H7" s="3" t="s">
        <v>24</v>
      </c>
      <c r="I7" t="s">
        <v>26</v>
      </c>
      <c r="J7" s="9" t="str">
        <f>_xlfn.CONCAT(B7:I7)</f>
        <v>"Payment":"Debit Card",</v>
      </c>
      <c r="L7" s="8" t="str">
        <f>C7</f>
        <v>Payment</v>
      </c>
      <c r="M7" t="s">
        <v>27</v>
      </c>
      <c r="N7" t="s">
        <v>31</v>
      </c>
      <c r="O7" t="s">
        <v>28</v>
      </c>
      <c r="P7" t="s">
        <v>24</v>
      </c>
      <c r="Q7" s="8" t="str">
        <f t="shared" si="0"/>
        <v>Payment</v>
      </c>
      <c r="R7" t="s">
        <v>29</v>
      </c>
      <c r="S7" t="str">
        <f>"label_encoder["&amp;Q7&amp;"].classes_"</f>
        <v>label_encoder[Payment].classes_</v>
      </c>
      <c r="T7" t="s">
        <v>30</v>
      </c>
      <c r="U7" t="str">
        <f>_xlfn.CONCAT(L7:T7)</f>
        <v>Payment=st.selectbox("Payment",label_encoder[Payment].classes_)</v>
      </c>
      <c r="V7" t="s">
        <v>60</v>
      </c>
      <c r="W7" t="str">
        <f>L7&amp;"_encoded=label_encoder['"&amp;L7&amp;"'].transform(["&amp;L7&amp;"])[0]"</f>
        <v>Payment_encoded=label_encoder['Payment'].transform([Payment])[0]</v>
      </c>
      <c r="X7" t="str">
        <f>_xlfn.CONCAT(B7:E7)</f>
        <v>"Payment":</v>
      </c>
      <c r="Y7" t="str">
        <f>_xlfn.CONCAT(C7,V7)</f>
        <v>Payment_encoded</v>
      </c>
      <c r="Z7" t="s">
        <v>26</v>
      </c>
    </row>
    <row r="8" spans="2:26" x14ac:dyDescent="0.25">
      <c r="B8" s="1" t="s">
        <v>24</v>
      </c>
      <c r="C8" s="2" t="s">
        <v>41</v>
      </c>
      <c r="D8" s="1" t="s">
        <v>24</v>
      </c>
      <c r="E8" t="s">
        <v>25</v>
      </c>
      <c r="F8" s="3" t="s">
        <v>24</v>
      </c>
      <c r="G8" s="6" t="s">
        <v>55</v>
      </c>
      <c r="H8" s="3" t="s">
        <v>24</v>
      </c>
      <c r="I8" t="s">
        <v>26</v>
      </c>
      <c r="J8" s="9" t="str">
        <f>_xlfn.CONCAT(B8:I8)</f>
        <v>"Gender":"Female",</v>
      </c>
      <c r="L8" s="8" t="str">
        <f>C8</f>
        <v>Gender</v>
      </c>
      <c r="M8" t="s">
        <v>27</v>
      </c>
      <c r="N8" t="s">
        <v>31</v>
      </c>
      <c r="O8" t="s">
        <v>28</v>
      </c>
      <c r="P8" t="s">
        <v>24</v>
      </c>
      <c r="Q8" s="8" t="str">
        <f t="shared" si="0"/>
        <v>Gender</v>
      </c>
      <c r="R8" t="s">
        <v>29</v>
      </c>
      <c r="S8" t="str">
        <f>"label_encoder["&amp;Q8&amp;"].classes_"</f>
        <v>label_encoder[Gender].classes_</v>
      </c>
      <c r="T8" t="s">
        <v>30</v>
      </c>
      <c r="U8" t="str">
        <f>_xlfn.CONCAT(L8:T8)</f>
        <v>Gender=st.selectbox("Gender",label_encoder[Gender].classes_)</v>
      </c>
      <c r="V8" t="s">
        <v>60</v>
      </c>
      <c r="W8" t="str">
        <f>L8&amp;"_encoded=label_encoder['"&amp;L8&amp;"'].transform(["&amp;L8&amp;"])[0]"</f>
        <v>Gender_encoded=label_encoder['Gender'].transform([Gender])[0]</v>
      </c>
      <c r="X8" t="str">
        <f>_xlfn.CONCAT(B8:E8)</f>
        <v>"Gender":</v>
      </c>
      <c r="Y8" t="str">
        <f>_xlfn.CONCAT(C8,V8)</f>
        <v>Gender_encoded</v>
      </c>
      <c r="Z8" t="s">
        <v>26</v>
      </c>
    </row>
    <row r="9" spans="2:26" x14ac:dyDescent="0.25">
      <c r="B9" s="1" t="s">
        <v>24</v>
      </c>
      <c r="C9" s="2" t="s">
        <v>42</v>
      </c>
      <c r="D9" s="1" t="s">
        <v>24</v>
      </c>
      <c r="E9" t="s">
        <v>25</v>
      </c>
      <c r="G9" s="6">
        <v>3</v>
      </c>
      <c r="I9" t="s">
        <v>26</v>
      </c>
      <c r="J9" s="9" t="str">
        <f>_xlfn.CONCAT(B9:I9)</f>
        <v>"Service_Score":3,</v>
      </c>
      <c r="L9" s="8" t="str">
        <f>C9</f>
        <v>Service_Score</v>
      </c>
      <c r="M9" t="s">
        <v>27</v>
      </c>
      <c r="N9" t="s">
        <v>59</v>
      </c>
      <c r="O9" t="s">
        <v>28</v>
      </c>
      <c r="P9" t="s">
        <v>24</v>
      </c>
      <c r="Q9" s="8" t="str">
        <f t="shared" si="0"/>
        <v>Service_Score</v>
      </c>
      <c r="R9" t="s">
        <v>29</v>
      </c>
      <c r="T9" t="s">
        <v>30</v>
      </c>
      <c r="U9" t="str">
        <f>_xlfn.CONCAT(L9:T9)</f>
        <v>Service_Score=st.number_input("Service_Score",)</v>
      </c>
      <c r="X9" t="str">
        <f>_xlfn.CONCAT(B9:E9)</f>
        <v>"Service_Score":</v>
      </c>
      <c r="Y9" t="str">
        <f>_xlfn.CONCAT(C9,V9)</f>
        <v>Service_Score</v>
      </c>
      <c r="Z9" t="s">
        <v>26</v>
      </c>
    </row>
    <row r="10" spans="2:26" x14ac:dyDescent="0.25">
      <c r="B10" s="1" t="s">
        <v>24</v>
      </c>
      <c r="C10" s="2" t="s">
        <v>43</v>
      </c>
      <c r="D10" s="1" t="s">
        <v>24</v>
      </c>
      <c r="E10" t="s">
        <v>25</v>
      </c>
      <c r="G10" s="6">
        <v>3</v>
      </c>
      <c r="I10" t="s">
        <v>26</v>
      </c>
      <c r="J10" s="9" t="str">
        <f>_xlfn.CONCAT(B10:I10)</f>
        <v>"Account_user_count":3,</v>
      </c>
      <c r="L10" s="8" t="str">
        <f>C10</f>
        <v>Account_user_count</v>
      </c>
      <c r="M10" t="s">
        <v>27</v>
      </c>
      <c r="N10" t="s">
        <v>59</v>
      </c>
      <c r="O10" t="s">
        <v>28</v>
      </c>
      <c r="P10" t="s">
        <v>24</v>
      </c>
      <c r="Q10" s="8" t="str">
        <f t="shared" si="0"/>
        <v>Account_user_count</v>
      </c>
      <c r="R10" t="s">
        <v>29</v>
      </c>
      <c r="T10" t="s">
        <v>30</v>
      </c>
      <c r="U10" t="str">
        <f>_xlfn.CONCAT(L10:T10)</f>
        <v>Account_user_count=st.number_input("Account_user_count",)</v>
      </c>
      <c r="X10" t="str">
        <f>_xlfn.CONCAT(B10:E10)</f>
        <v>"Account_user_count":</v>
      </c>
      <c r="Y10" t="str">
        <f>_xlfn.CONCAT(C10,V10)</f>
        <v>Account_user_count</v>
      </c>
      <c r="Z10" t="s">
        <v>26</v>
      </c>
    </row>
    <row r="11" spans="2:26" x14ac:dyDescent="0.25">
      <c r="B11" s="1" t="s">
        <v>24</v>
      </c>
      <c r="C11" s="2" t="s">
        <v>44</v>
      </c>
      <c r="D11" s="1" t="s">
        <v>24</v>
      </c>
      <c r="E11" t="s">
        <v>25</v>
      </c>
      <c r="F11" s="3" t="s">
        <v>24</v>
      </c>
      <c r="G11" s="6" t="s">
        <v>56</v>
      </c>
      <c r="H11" s="3" t="s">
        <v>24</v>
      </c>
      <c r="I11" t="s">
        <v>26</v>
      </c>
      <c r="J11" s="9" t="str">
        <f>_xlfn.CONCAT(B11:I11)</f>
        <v>"account_segment":"Super",</v>
      </c>
      <c r="L11" s="8" t="str">
        <f>C11</f>
        <v>account_segment</v>
      </c>
      <c r="M11" t="s">
        <v>27</v>
      </c>
      <c r="N11" t="s">
        <v>31</v>
      </c>
      <c r="O11" t="s">
        <v>28</v>
      </c>
      <c r="P11" t="s">
        <v>24</v>
      </c>
      <c r="Q11" s="8" t="str">
        <f t="shared" si="0"/>
        <v>account_segment</v>
      </c>
      <c r="R11" t="s">
        <v>29</v>
      </c>
      <c r="S11" t="str">
        <f>"label_encoder["&amp;Q11&amp;"].classes_"</f>
        <v>label_encoder[account_segment].classes_</v>
      </c>
      <c r="T11" t="s">
        <v>30</v>
      </c>
      <c r="U11" t="str">
        <f>_xlfn.CONCAT(L11:T11)</f>
        <v>account_segment=st.selectbox("account_segment",label_encoder[account_segment].classes_)</v>
      </c>
      <c r="V11" t="s">
        <v>60</v>
      </c>
      <c r="W11" t="str">
        <f>L11&amp;"_encoded=label_encoder['"&amp;L11&amp;"'].transform(["&amp;L11&amp;"])[0]"</f>
        <v>account_segment_encoded=label_encoder['account_segment'].transform([account_segment])[0]</v>
      </c>
      <c r="X11" t="str">
        <f>_xlfn.CONCAT(B11:E11)</f>
        <v>"account_segment":</v>
      </c>
      <c r="Y11" t="str">
        <f>_xlfn.CONCAT(C11,V11)</f>
        <v>account_segment_encoded</v>
      </c>
      <c r="Z11" t="s">
        <v>26</v>
      </c>
    </row>
    <row r="12" spans="2:26" x14ac:dyDescent="0.25">
      <c r="B12" s="1" t="s">
        <v>24</v>
      </c>
      <c r="C12" s="2" t="s">
        <v>45</v>
      </c>
      <c r="D12" s="1" t="s">
        <v>24</v>
      </c>
      <c r="E12" t="s">
        <v>25</v>
      </c>
      <c r="G12" s="6">
        <v>2</v>
      </c>
      <c r="I12" t="s">
        <v>26</v>
      </c>
      <c r="J12" s="9" t="str">
        <f>_xlfn.CONCAT(B12:I12)</f>
        <v>"CC_Agent_Score":2,</v>
      </c>
      <c r="L12" s="8" t="str">
        <f>C12</f>
        <v>CC_Agent_Score</v>
      </c>
      <c r="M12" t="s">
        <v>27</v>
      </c>
      <c r="N12" t="s">
        <v>59</v>
      </c>
      <c r="O12" t="s">
        <v>28</v>
      </c>
      <c r="P12" t="s">
        <v>24</v>
      </c>
      <c r="Q12" s="8" t="str">
        <f t="shared" si="0"/>
        <v>CC_Agent_Score</v>
      </c>
      <c r="R12" t="s">
        <v>29</v>
      </c>
      <c r="T12" t="s">
        <v>30</v>
      </c>
      <c r="U12" t="str">
        <f>_xlfn.CONCAT(L12:T12)</f>
        <v>CC_Agent_Score=st.number_input("CC_Agent_Score",)</v>
      </c>
      <c r="X12" t="str">
        <f>_xlfn.CONCAT(B12:E12)</f>
        <v>"CC_Agent_Score":</v>
      </c>
      <c r="Y12" t="str">
        <f>C12</f>
        <v>CC_Agent_Score</v>
      </c>
      <c r="Z12" t="s">
        <v>26</v>
      </c>
    </row>
    <row r="13" spans="2:26" x14ac:dyDescent="0.25">
      <c r="B13" s="1" t="s">
        <v>24</v>
      </c>
      <c r="C13" s="2" t="s">
        <v>46</v>
      </c>
      <c r="D13" s="1" t="s">
        <v>24</v>
      </c>
      <c r="E13" t="s">
        <v>25</v>
      </c>
      <c r="F13" s="3" t="s">
        <v>24</v>
      </c>
      <c r="G13" s="6" t="s">
        <v>57</v>
      </c>
      <c r="H13" s="3" t="s">
        <v>24</v>
      </c>
      <c r="I13" t="s">
        <v>26</v>
      </c>
      <c r="J13" s="9" t="str">
        <f>_xlfn.CONCAT(B13:I13)</f>
        <v>"Marital_Status":"Single",</v>
      </c>
      <c r="L13" s="8" t="str">
        <f>C13</f>
        <v>Marital_Status</v>
      </c>
      <c r="M13" t="s">
        <v>27</v>
      </c>
      <c r="N13" t="s">
        <v>31</v>
      </c>
      <c r="O13" t="s">
        <v>28</v>
      </c>
      <c r="P13" t="s">
        <v>24</v>
      </c>
      <c r="Q13" s="8" t="str">
        <f t="shared" si="0"/>
        <v>Marital_Status</v>
      </c>
      <c r="R13" t="s">
        <v>29</v>
      </c>
      <c r="S13" t="str">
        <f>"label_encoder["&amp;Q13&amp;"].classes_"</f>
        <v>label_encoder[Marital_Status].classes_</v>
      </c>
      <c r="T13" t="s">
        <v>30</v>
      </c>
      <c r="U13" t="str">
        <f>_xlfn.CONCAT(L13:T13)</f>
        <v>Marital_Status=st.selectbox("Marital_Status",label_encoder[Marital_Status].classes_)</v>
      </c>
      <c r="V13" t="s">
        <v>60</v>
      </c>
      <c r="W13" t="str">
        <f>L13&amp;"_encoded=label_encoder['"&amp;L13&amp;"'].transform(["&amp;L13&amp;"])[0]"</f>
        <v>Marital_Status_encoded=label_encoder['Marital_Status'].transform([Marital_Status])[0]</v>
      </c>
      <c r="X13" t="str">
        <f>_xlfn.CONCAT(B13:E13)</f>
        <v>"Marital_Status":</v>
      </c>
      <c r="Y13" t="str">
        <f>_xlfn.CONCAT(C13,V13)</f>
        <v>Marital_Status_encoded</v>
      </c>
      <c r="Z13" t="s">
        <v>26</v>
      </c>
    </row>
    <row r="14" spans="2:26" x14ac:dyDescent="0.25">
      <c r="B14" s="1" t="s">
        <v>24</v>
      </c>
      <c r="C14" s="2" t="s">
        <v>47</v>
      </c>
      <c r="D14" s="1" t="s">
        <v>24</v>
      </c>
      <c r="E14" t="s">
        <v>25</v>
      </c>
      <c r="G14" s="6">
        <v>9</v>
      </c>
      <c r="I14" t="s">
        <v>26</v>
      </c>
      <c r="J14" s="9" t="str">
        <f>_xlfn.CONCAT(B14:I14)</f>
        <v>"rev_per_month":9,</v>
      </c>
      <c r="L14" s="8" t="str">
        <f>C14</f>
        <v>rev_per_month</v>
      </c>
      <c r="M14" t="s">
        <v>27</v>
      </c>
      <c r="N14" t="s">
        <v>59</v>
      </c>
      <c r="O14" t="s">
        <v>28</v>
      </c>
      <c r="P14" t="s">
        <v>24</v>
      </c>
      <c r="Q14" s="8" t="str">
        <f t="shared" si="0"/>
        <v>rev_per_month</v>
      </c>
      <c r="R14" t="s">
        <v>29</v>
      </c>
      <c r="T14" t="s">
        <v>30</v>
      </c>
      <c r="U14" t="str">
        <f>_xlfn.CONCAT(L14:T14)</f>
        <v>rev_per_month=st.number_input("rev_per_month",)</v>
      </c>
      <c r="X14" t="str">
        <f>_xlfn.CONCAT(B14:E14)</f>
        <v>"rev_per_month":</v>
      </c>
      <c r="Y14" t="str">
        <f t="shared" ref="Y14:Y19" si="2">C14</f>
        <v>rev_per_month</v>
      </c>
      <c r="Z14" t="s">
        <v>26</v>
      </c>
    </row>
    <row r="15" spans="2:26" x14ac:dyDescent="0.25">
      <c r="B15" s="1" t="s">
        <v>24</v>
      </c>
      <c r="C15" s="2" t="s">
        <v>48</v>
      </c>
      <c r="D15" s="1" t="s">
        <v>24</v>
      </c>
      <c r="E15" t="s">
        <v>25</v>
      </c>
      <c r="G15" s="6">
        <v>1</v>
      </c>
      <c r="I15" t="s">
        <v>26</v>
      </c>
      <c r="J15" s="9" t="str">
        <f>_xlfn.CONCAT(B15:I15)</f>
        <v>"Complain_ly":1,</v>
      </c>
      <c r="L15" s="8" t="str">
        <f>C15</f>
        <v>Complain_ly</v>
      </c>
      <c r="M15" t="s">
        <v>27</v>
      </c>
      <c r="N15" t="s">
        <v>59</v>
      </c>
      <c r="O15" t="s">
        <v>28</v>
      </c>
      <c r="P15" t="s">
        <v>24</v>
      </c>
      <c r="Q15" s="8" t="str">
        <f t="shared" si="0"/>
        <v>Complain_ly</v>
      </c>
      <c r="R15" t="s">
        <v>29</v>
      </c>
      <c r="T15" t="s">
        <v>30</v>
      </c>
      <c r="U15" t="str">
        <f>_xlfn.CONCAT(L15:T15)</f>
        <v>Complain_ly=st.number_input("Complain_ly",)</v>
      </c>
      <c r="X15" t="str">
        <f>_xlfn.CONCAT(B15:E15)</f>
        <v>"Complain_ly":</v>
      </c>
      <c r="Y15" t="str">
        <f t="shared" si="2"/>
        <v>Complain_ly</v>
      </c>
      <c r="Z15" t="s">
        <v>26</v>
      </c>
    </row>
    <row r="16" spans="2:26" x14ac:dyDescent="0.25">
      <c r="B16" s="1" t="s">
        <v>24</v>
      </c>
      <c r="C16" s="2" t="s">
        <v>49</v>
      </c>
      <c r="D16" s="1" t="s">
        <v>24</v>
      </c>
      <c r="E16" t="s">
        <v>25</v>
      </c>
      <c r="G16" s="6">
        <v>11</v>
      </c>
      <c r="I16" t="s">
        <v>26</v>
      </c>
      <c r="J16" s="9" t="str">
        <f>_xlfn.CONCAT(B16:I16)</f>
        <v>"rev_growth_yoy":11,</v>
      </c>
      <c r="L16" s="8" t="str">
        <f>C16</f>
        <v>rev_growth_yoy</v>
      </c>
      <c r="M16" t="s">
        <v>27</v>
      </c>
      <c r="N16" t="s">
        <v>59</v>
      </c>
      <c r="O16" t="s">
        <v>28</v>
      </c>
      <c r="P16" t="s">
        <v>24</v>
      </c>
      <c r="Q16" s="8" t="str">
        <f t="shared" si="0"/>
        <v>rev_growth_yoy</v>
      </c>
      <c r="R16" t="s">
        <v>29</v>
      </c>
      <c r="T16" t="s">
        <v>30</v>
      </c>
      <c r="U16" t="str">
        <f>_xlfn.CONCAT(L16:T16)</f>
        <v>rev_growth_yoy=st.number_input("rev_growth_yoy",)</v>
      </c>
      <c r="X16" t="str">
        <f>_xlfn.CONCAT(B16:E16)</f>
        <v>"rev_growth_yoy":</v>
      </c>
      <c r="Y16" t="str">
        <f t="shared" si="2"/>
        <v>rev_growth_yoy</v>
      </c>
      <c r="Z16" t="s">
        <v>26</v>
      </c>
    </row>
    <row r="17" spans="2:26" x14ac:dyDescent="0.25">
      <c r="B17" s="1" t="s">
        <v>24</v>
      </c>
      <c r="C17" s="2" t="s">
        <v>50</v>
      </c>
      <c r="D17" s="1" t="s">
        <v>24</v>
      </c>
      <c r="E17" t="s">
        <v>25</v>
      </c>
      <c r="G17" s="6">
        <v>1</v>
      </c>
      <c r="I17" t="s">
        <v>26</v>
      </c>
      <c r="J17" s="9" t="str">
        <f>_xlfn.CONCAT(B17:I17)</f>
        <v>"coupon_used_for_payment":1,</v>
      </c>
      <c r="L17" s="8" t="str">
        <f>C17</f>
        <v>coupon_used_for_payment</v>
      </c>
      <c r="M17" t="s">
        <v>27</v>
      </c>
      <c r="N17" t="s">
        <v>59</v>
      </c>
      <c r="O17" t="s">
        <v>28</v>
      </c>
      <c r="P17" t="s">
        <v>24</v>
      </c>
      <c r="Q17" s="8" t="str">
        <f t="shared" si="0"/>
        <v>coupon_used_for_payment</v>
      </c>
      <c r="R17" t="s">
        <v>29</v>
      </c>
      <c r="T17" t="s">
        <v>30</v>
      </c>
      <c r="U17" t="str">
        <f>_xlfn.CONCAT(L17:T17)</f>
        <v>coupon_used_for_payment=st.number_input("coupon_used_for_payment",)</v>
      </c>
      <c r="X17" t="str">
        <f>_xlfn.CONCAT(B17:E17)</f>
        <v>"coupon_used_for_payment":</v>
      </c>
      <c r="Y17" t="str">
        <f t="shared" si="2"/>
        <v>coupon_used_for_payment</v>
      </c>
      <c r="Z17" t="s">
        <v>26</v>
      </c>
    </row>
    <row r="18" spans="2:26" x14ac:dyDescent="0.25">
      <c r="B18" s="1" t="s">
        <v>24</v>
      </c>
      <c r="C18" s="2" t="s">
        <v>51</v>
      </c>
      <c r="D18" s="1" t="s">
        <v>24</v>
      </c>
      <c r="E18" t="s">
        <v>25</v>
      </c>
      <c r="G18" s="6">
        <v>5</v>
      </c>
      <c r="I18" t="s">
        <v>26</v>
      </c>
      <c r="J18" s="9" t="str">
        <f>_xlfn.CONCAT(B18:I18)</f>
        <v>"Day_Since_CC_connect":5,</v>
      </c>
      <c r="L18" s="8" t="str">
        <f>C18</f>
        <v>Day_Since_CC_connect</v>
      </c>
      <c r="M18" t="s">
        <v>27</v>
      </c>
      <c r="N18" t="s">
        <v>59</v>
      </c>
      <c r="O18" t="s">
        <v>28</v>
      </c>
      <c r="P18" t="s">
        <v>24</v>
      </c>
      <c r="Q18" s="8" t="str">
        <f t="shared" si="0"/>
        <v>Day_Since_CC_connect</v>
      </c>
      <c r="R18" t="s">
        <v>29</v>
      </c>
      <c r="T18" t="s">
        <v>30</v>
      </c>
      <c r="U18" t="str">
        <f>_xlfn.CONCAT(L18:T18)</f>
        <v>Day_Since_CC_connect=st.number_input("Day_Since_CC_connect",)</v>
      </c>
      <c r="X18" t="str">
        <f>_xlfn.CONCAT(B18:E18)</f>
        <v>"Day_Since_CC_connect":</v>
      </c>
      <c r="Y18" t="str">
        <f t="shared" si="2"/>
        <v>Day_Since_CC_connect</v>
      </c>
      <c r="Z18" t="s">
        <v>26</v>
      </c>
    </row>
    <row r="19" spans="2:26" x14ac:dyDescent="0.25">
      <c r="B19" s="1" t="s">
        <v>24</v>
      </c>
      <c r="C19" s="2" t="s">
        <v>52</v>
      </c>
      <c r="D19" s="1" t="s">
        <v>24</v>
      </c>
      <c r="E19" t="s">
        <v>25</v>
      </c>
      <c r="G19" s="7">
        <v>159.93</v>
      </c>
      <c r="I19" t="s">
        <v>26</v>
      </c>
      <c r="J19" s="9" t="str">
        <f>_xlfn.CONCAT(B19:I19)</f>
        <v>"cashback":159.93,</v>
      </c>
      <c r="L19" s="8" t="str">
        <f>C19</f>
        <v>cashback</v>
      </c>
      <c r="M19" t="s">
        <v>27</v>
      </c>
      <c r="N19" t="s">
        <v>59</v>
      </c>
      <c r="O19" t="s">
        <v>28</v>
      </c>
      <c r="P19" t="s">
        <v>24</v>
      </c>
      <c r="Q19" s="8" t="str">
        <f t="shared" si="0"/>
        <v>cashback</v>
      </c>
      <c r="R19" t="s">
        <v>29</v>
      </c>
      <c r="T19" t="s">
        <v>30</v>
      </c>
      <c r="U19" t="str">
        <f>_xlfn.CONCAT(L19:T19)</f>
        <v>cashback=st.number_input("cashback",)</v>
      </c>
      <c r="X19" t="str">
        <f>_xlfn.CONCAT(B19:E19)</f>
        <v>"cashback":</v>
      </c>
      <c r="Y19" t="str">
        <f t="shared" si="2"/>
        <v>cashback</v>
      </c>
      <c r="Z19" t="s">
        <v>26</v>
      </c>
    </row>
    <row r="20" spans="2:26" x14ac:dyDescent="0.25">
      <c r="B20" s="1" t="s">
        <v>24</v>
      </c>
      <c r="C20" s="2" t="s">
        <v>53</v>
      </c>
      <c r="D20" s="1" t="s">
        <v>24</v>
      </c>
      <c r="E20" t="s">
        <v>25</v>
      </c>
      <c r="F20" s="3" t="s">
        <v>24</v>
      </c>
      <c r="G20" s="6" t="s">
        <v>58</v>
      </c>
      <c r="H20" s="3" t="s">
        <v>24</v>
      </c>
      <c r="I20" t="s">
        <v>26</v>
      </c>
      <c r="J20" s="9" t="str">
        <f>_xlfn.CONCAT(B20:I20)</f>
        <v>"Login_device":"Mobile",</v>
      </c>
      <c r="L20" s="8" t="str">
        <f>C20</f>
        <v>Login_device</v>
      </c>
      <c r="M20" t="s">
        <v>27</v>
      </c>
      <c r="N20" t="s">
        <v>31</v>
      </c>
      <c r="O20" t="s">
        <v>28</v>
      </c>
      <c r="P20" t="s">
        <v>24</v>
      </c>
      <c r="Q20" s="8" t="str">
        <f t="shared" si="0"/>
        <v>Login_device</v>
      </c>
      <c r="R20" t="s">
        <v>29</v>
      </c>
      <c r="S20" t="str">
        <f>"label_encoder["&amp;Q20&amp;"].classes_"</f>
        <v>label_encoder[Login_device].classes_</v>
      </c>
      <c r="T20" t="s">
        <v>30</v>
      </c>
      <c r="U20" t="str">
        <f>_xlfn.CONCAT(L20:T20)</f>
        <v>Login_device=st.selectbox("Login_device",label_encoder[Login_device].classes_)</v>
      </c>
      <c r="V20" t="s">
        <v>60</v>
      </c>
      <c r="W20" t="str">
        <f>L20&amp;"_encoded=label_encoder['"&amp;L20&amp;"'].transform(["&amp;L20&amp;"])[0]"</f>
        <v>Login_device_encoded=label_encoder['Login_device'].transform([Login_device])[0]</v>
      </c>
      <c r="X20" t="str">
        <f>_xlfn.CONCAT(B20:E20)</f>
        <v>"Login_device":</v>
      </c>
      <c r="Y20" t="str">
        <f>_xlfn.CONCAT(C20,V20)</f>
        <v>Login_device_encoded</v>
      </c>
      <c r="Z20" t="s">
        <v>26</v>
      </c>
    </row>
    <row r="21" spans="2:26" x14ac:dyDescent="0.25">
      <c r="Q21" s="9"/>
    </row>
    <row r="30" spans="2:26" x14ac:dyDescent="0.25">
      <c r="S30" t="s">
        <v>32</v>
      </c>
    </row>
  </sheetData>
  <autoFilter ref="B3:U20" xr:uid="{C39DEFC4-9E9D-489C-97DC-867C34F2444E}"/>
  <conditionalFormatting sqref="B4:Z26">
    <cfRule type="expression" dxfId="0" priority="1">
      <formula>IF($F4="",0,1)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Vadhirajan</dc:creator>
  <cp:lastModifiedBy>Vikram Vadhirajan</cp:lastModifiedBy>
  <dcterms:created xsi:type="dcterms:W3CDTF">2026-03-09T11:34:51Z</dcterms:created>
  <dcterms:modified xsi:type="dcterms:W3CDTF">2026-03-27T07:48:05Z</dcterms:modified>
</cp:coreProperties>
</file>