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07_Python_Projects\Patient_Survival_Prediction\"/>
    </mc:Choice>
  </mc:AlternateContent>
  <xr:revisionPtr revIDLastSave="0" documentId="8_{8E9C60EF-AE89-45FD-9FC5-D4CBACD9CE33}" xr6:coauthVersionLast="47" xr6:coauthVersionMax="47" xr10:uidLastSave="{00000000-0000-0000-0000-000000000000}"/>
  <bookViews>
    <workbookView xWindow="-27990" yWindow="-120" windowWidth="28110" windowHeight="16440" activeTab="1" xr2:uid="{082229EB-2B97-4FC4-83BB-267830768E3D}"/>
  </bookViews>
  <sheets>
    <sheet name="Sheet1" sheetId="1" r:id="rId1"/>
    <sheet name="Sheet2" sheetId="2" r:id="rId2"/>
  </sheets>
  <definedNames>
    <definedName name="_xlnm._FilterDatabase" localSheetId="1" hidden="1">Sheet2!$B$3:$W$20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2" l="1"/>
  <c r="Q21" i="2" s="1"/>
  <c r="W21" i="2" s="1"/>
  <c r="J21" i="2"/>
  <c r="Q12" i="2"/>
  <c r="Q17" i="2"/>
  <c r="Q18" i="2"/>
  <c r="Q19" i="2"/>
  <c r="Q20" i="2"/>
  <c r="L5" i="2"/>
  <c r="Q5" i="2" s="1"/>
  <c r="L6" i="2"/>
  <c r="Q6" i="2" s="1"/>
  <c r="L7" i="2"/>
  <c r="L8" i="2"/>
  <c r="L9" i="2"/>
  <c r="Q9" i="2" s="1"/>
  <c r="L10" i="2"/>
  <c r="Q10" i="2" s="1"/>
  <c r="W10" i="2" s="1"/>
  <c r="L11" i="2"/>
  <c r="L12" i="2"/>
  <c r="L13" i="2"/>
  <c r="Q13" i="2" s="1"/>
  <c r="W13" i="2" s="1"/>
  <c r="L14" i="2"/>
  <c r="Q14" i="2" s="1"/>
  <c r="W14" i="2" s="1"/>
  <c r="L15" i="2"/>
  <c r="Q15" i="2" s="1"/>
  <c r="L16" i="2"/>
  <c r="Q16" i="2" s="1"/>
  <c r="L17" i="2"/>
  <c r="L18" i="2"/>
  <c r="L19" i="2"/>
  <c r="L20" i="2"/>
  <c r="W20" i="2" s="1"/>
  <c r="L4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W4" i="2" l="1"/>
  <c r="Q4" i="2"/>
  <c r="W5" i="2"/>
  <c r="W19" i="2"/>
  <c r="W18" i="2"/>
  <c r="Q11" i="2"/>
  <c r="W11" i="2" s="1"/>
  <c r="W6" i="2"/>
  <c r="W17" i="2"/>
  <c r="W16" i="2"/>
  <c r="Q8" i="2"/>
  <c r="W8" i="2" s="1"/>
  <c r="Q7" i="2"/>
  <c r="W7" i="2" s="1"/>
  <c r="W15" i="2"/>
  <c r="W12" i="2"/>
  <c r="W9" i="2"/>
</calcChain>
</file>

<file path=xl/sharedStrings.xml><?xml version="1.0" encoding="utf-8"?>
<sst xmlns="http://schemas.openxmlformats.org/spreadsheetml/2006/main" count="268" uniqueCount="40">
  <si>
    <t>N_Days</t>
  </si>
  <si>
    <t>Status</t>
  </si>
  <si>
    <t>D</t>
  </si>
  <si>
    <t>Drug</t>
  </si>
  <si>
    <t>D-penicillamine</t>
  </si>
  <si>
    <t>Age</t>
  </si>
  <si>
    <t>Sex</t>
  </si>
  <si>
    <t>F</t>
  </si>
  <si>
    <t>Ascites</t>
  </si>
  <si>
    <t>Y</t>
  </si>
  <si>
    <t>Hepatomegaly</t>
  </si>
  <si>
    <t>Spiders</t>
  </si>
  <si>
    <t>Edema</t>
  </si>
  <si>
    <t>Bilirubin</t>
  </si>
  <si>
    <t>Cholesterol</t>
  </si>
  <si>
    <t>Albumin</t>
  </si>
  <si>
    <t>Copper</t>
  </si>
  <si>
    <t>Alk_Phos</t>
  </si>
  <si>
    <t>SGOT</t>
  </si>
  <si>
    <t>Tryglicerides</t>
  </si>
  <si>
    <t>Platelets</t>
  </si>
  <si>
    <t>Prothrombin</t>
  </si>
  <si>
    <t>Type</t>
  </si>
  <si>
    <t>min</t>
  </si>
  <si>
    <t>max</t>
  </si>
  <si>
    <t>"</t>
  </si>
  <si>
    <t>:</t>
  </si>
  <si>
    <t>,</t>
  </si>
  <si>
    <t>=</t>
  </si>
  <si>
    <t>st.slider</t>
  </si>
  <si>
    <t>(</t>
  </si>
  <si>
    <t>",</t>
  </si>
  <si>
    <t>)</t>
  </si>
  <si>
    <t>st.selectbox</t>
  </si>
  <si>
    <t>label_encoder.classes_</t>
  </si>
  <si>
    <t>Parameter</t>
  </si>
  <si>
    <t>Value</t>
  </si>
  <si>
    <t>Text Double Quote</t>
  </si>
  <si>
    <t>Input Value</t>
  </si>
  <si>
    <t>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</si>
</sst>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quotePrefix="1"/>
    <xf numFmtId="0" fontId="0" fillId="2" borderId="0" xfId="0" applyFill="1"/>
    <xf numFmtId="0" fontId="0" fillId="3" borderId="0" xfId="0" applyFill="1"/>
    <xf numFmtId="0" fontId="1" fillId="0" borderId="0" xfId="0" applyFont="1"/>
    <xf numFmtId="0" fontId="1" fillId="3" borderId="0" xfId="0" applyFon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AA576-E926-44BA-BB39-40D5FBECC585}">
  <dimension ref="B3:D20"/>
  <sheetViews>
    <sheetView workbookViewId="0">
      <selection activeCell="D3" sqref="D3:D20"/>
    </sheetView>
  </sheetViews>
  <sheetFormatPr defaultRowHeight="15" x14ac:dyDescent="0.25"/>
  <cols>
    <col min="2" max="2" width="13.7109375" bestFit="1" customWidth="1"/>
  </cols>
  <sheetData>
    <row r="3" spans="2:4" x14ac:dyDescent="0.25">
      <c r="B3" t="s">
        <v>0</v>
      </c>
      <c r="D3">
        <v>400</v>
      </c>
    </row>
    <row r="4" spans="2:4" x14ac:dyDescent="0.25">
      <c r="B4" t="s">
        <v>1</v>
      </c>
      <c r="D4" t="s">
        <v>2</v>
      </c>
    </row>
    <row r="5" spans="2:4" x14ac:dyDescent="0.25">
      <c r="B5" t="s">
        <v>3</v>
      </c>
      <c r="D5" t="s">
        <v>4</v>
      </c>
    </row>
    <row r="6" spans="2:4" x14ac:dyDescent="0.25">
      <c r="B6" t="s">
        <v>5</v>
      </c>
      <c r="D6">
        <v>21464</v>
      </c>
    </row>
    <row r="7" spans="2:4" x14ac:dyDescent="0.25">
      <c r="B7" t="s">
        <v>6</v>
      </c>
      <c r="D7" t="s">
        <v>7</v>
      </c>
    </row>
    <row r="8" spans="2:4" x14ac:dyDescent="0.25">
      <c r="B8" t="s">
        <v>8</v>
      </c>
      <c r="D8" t="s">
        <v>9</v>
      </c>
    </row>
    <row r="9" spans="2:4" x14ac:dyDescent="0.25">
      <c r="B9" t="s">
        <v>10</v>
      </c>
      <c r="D9" t="s">
        <v>9</v>
      </c>
    </row>
    <row r="10" spans="2:4" x14ac:dyDescent="0.25">
      <c r="B10" t="s">
        <v>11</v>
      </c>
      <c r="D10" t="s">
        <v>9</v>
      </c>
    </row>
    <row r="11" spans="2:4" x14ac:dyDescent="0.25">
      <c r="B11" t="s">
        <v>12</v>
      </c>
      <c r="D11" t="s">
        <v>9</v>
      </c>
    </row>
    <row r="12" spans="2:4" x14ac:dyDescent="0.25">
      <c r="B12" t="s">
        <v>13</v>
      </c>
      <c r="D12">
        <v>14.5</v>
      </c>
    </row>
    <row r="13" spans="2:4" x14ac:dyDescent="0.25">
      <c r="B13" t="s">
        <v>14</v>
      </c>
      <c r="D13">
        <v>261</v>
      </c>
    </row>
    <row r="14" spans="2:4" x14ac:dyDescent="0.25">
      <c r="B14" t="s">
        <v>15</v>
      </c>
      <c r="D14">
        <v>2.6</v>
      </c>
    </row>
    <row r="15" spans="2:4" x14ac:dyDescent="0.25">
      <c r="B15" t="s">
        <v>16</v>
      </c>
      <c r="D15">
        <v>156</v>
      </c>
    </row>
    <row r="16" spans="2:4" x14ac:dyDescent="0.25">
      <c r="B16" t="s">
        <v>17</v>
      </c>
      <c r="D16">
        <v>1718</v>
      </c>
    </row>
    <row r="17" spans="2:4" x14ac:dyDescent="0.25">
      <c r="B17" t="s">
        <v>18</v>
      </c>
      <c r="D17">
        <v>137.94999999999999</v>
      </c>
    </row>
    <row r="18" spans="2:4" x14ac:dyDescent="0.25">
      <c r="B18" t="s">
        <v>19</v>
      </c>
      <c r="D18">
        <v>172</v>
      </c>
    </row>
    <row r="19" spans="2:4" x14ac:dyDescent="0.25">
      <c r="B19" t="s">
        <v>20</v>
      </c>
      <c r="D19">
        <v>190</v>
      </c>
    </row>
    <row r="20" spans="2:4" x14ac:dyDescent="0.25">
      <c r="B20" t="s">
        <v>21</v>
      </c>
      <c r="D20">
        <v>12.2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DEFC4-9E9D-489C-97DC-867C34F2444E}">
  <dimension ref="B3:W21"/>
  <sheetViews>
    <sheetView tabSelected="1" workbookViewId="0">
      <selection activeCell="D14" sqref="D14"/>
    </sheetView>
  </sheetViews>
  <sheetFormatPr defaultRowHeight="15" x14ac:dyDescent="0.25"/>
  <cols>
    <col min="3" max="3" width="22.140625" bestFit="1" customWidth="1"/>
    <col min="6" max="6" width="17" style="3" bestFit="1" customWidth="1"/>
    <col min="7" max="7" width="15.28515625" bestFit="1" customWidth="1"/>
    <col min="8" max="8" width="9.140625" style="3"/>
    <col min="10" max="10" width="28.85546875" bestFit="1" customWidth="1"/>
  </cols>
  <sheetData>
    <row r="3" spans="2:23" s="4" customFormat="1" x14ac:dyDescent="0.25">
      <c r="C3" s="4" t="s">
        <v>35</v>
      </c>
      <c r="F3" s="5" t="s">
        <v>37</v>
      </c>
      <c r="G3" s="4" t="s">
        <v>36</v>
      </c>
      <c r="H3" s="5" t="s">
        <v>37</v>
      </c>
      <c r="J3" s="5" t="s">
        <v>38</v>
      </c>
      <c r="N3" s="4" t="s">
        <v>22</v>
      </c>
      <c r="S3" s="4" t="s">
        <v>23</v>
      </c>
      <c r="U3" s="4" t="s">
        <v>24</v>
      </c>
    </row>
    <row r="4" spans="2:23" x14ac:dyDescent="0.25">
      <c r="B4" s="1" t="s">
        <v>25</v>
      </c>
      <c r="C4" s="2" t="s">
        <v>0</v>
      </c>
      <c r="D4" s="1" t="s">
        <v>25</v>
      </c>
      <c r="E4" t="s">
        <v>26</v>
      </c>
      <c r="G4" s="2">
        <v>400</v>
      </c>
      <c r="I4" t="s">
        <v>27</v>
      </c>
      <c r="J4" t="str">
        <f>_xlfn.CONCAT(B4:I4)</f>
        <v>"N_Days":400,</v>
      </c>
      <c r="L4" s="1" t="str">
        <f>C4</f>
        <v>N_Days</v>
      </c>
      <c r="M4" t="s">
        <v>28</v>
      </c>
      <c r="N4" t="s">
        <v>29</v>
      </c>
      <c r="O4" t="s">
        <v>30</v>
      </c>
      <c r="P4" t="s">
        <v>25</v>
      </c>
      <c r="Q4" s="1" t="str">
        <f>L4</f>
        <v>N_Days</v>
      </c>
      <c r="R4" t="s">
        <v>31</v>
      </c>
      <c r="S4">
        <v>20</v>
      </c>
      <c r="T4" t="s">
        <v>27</v>
      </c>
      <c r="U4">
        <v>90</v>
      </c>
      <c r="V4" t="s">
        <v>32</v>
      </c>
      <c r="W4" t="str">
        <f>_xlfn.CONCAT(L4:V4)</f>
        <v>N_Days=st.slider("N_Days",20,90)</v>
      </c>
    </row>
    <row r="5" spans="2:23" x14ac:dyDescent="0.25">
      <c r="B5" s="1" t="s">
        <v>25</v>
      </c>
      <c r="C5" s="2" t="s">
        <v>3</v>
      </c>
      <c r="D5" s="1" t="s">
        <v>25</v>
      </c>
      <c r="E5" t="s">
        <v>26</v>
      </c>
      <c r="F5" s="3" t="s">
        <v>25</v>
      </c>
      <c r="G5" s="2" t="s">
        <v>4</v>
      </c>
      <c r="H5" s="3" t="s">
        <v>25</v>
      </c>
      <c r="I5" t="s">
        <v>27</v>
      </c>
      <c r="J5" t="str">
        <f t="shared" ref="J5:J20" si="0">_xlfn.CONCAT(B5:I5)</f>
        <v>"Drug":"D-penicillamine",</v>
      </c>
      <c r="L5" s="1" t="str">
        <f t="shared" ref="L5:L20" si="1">C5</f>
        <v>Drug</v>
      </c>
      <c r="M5" t="s">
        <v>28</v>
      </c>
      <c r="N5" t="s">
        <v>29</v>
      </c>
      <c r="O5" t="s">
        <v>30</v>
      </c>
      <c r="P5" t="s">
        <v>25</v>
      </c>
      <c r="Q5" s="1" t="str">
        <f t="shared" ref="Q5:Q20" si="2">L5</f>
        <v>Drug</v>
      </c>
      <c r="R5" t="s">
        <v>31</v>
      </c>
      <c r="T5" t="s">
        <v>27</v>
      </c>
      <c r="V5" t="s">
        <v>32</v>
      </c>
      <c r="W5" t="str">
        <f t="shared" ref="W5:W20" si="3">_xlfn.CONCAT(L5:V5)</f>
        <v>Drug=st.slider("Drug",,)</v>
      </c>
    </row>
    <row r="6" spans="2:23" x14ac:dyDescent="0.25">
      <c r="B6" s="1" t="s">
        <v>25</v>
      </c>
      <c r="C6" s="2" t="s">
        <v>5</v>
      </c>
      <c r="D6" s="1" t="s">
        <v>25</v>
      </c>
      <c r="E6" t="s">
        <v>26</v>
      </c>
      <c r="G6" s="2">
        <v>21464</v>
      </c>
      <c r="I6" t="s">
        <v>27</v>
      </c>
      <c r="J6" t="str">
        <f t="shared" si="0"/>
        <v>"Age":21464,</v>
      </c>
      <c r="L6" s="1" t="str">
        <f t="shared" si="1"/>
        <v>Age</v>
      </c>
      <c r="M6" t="s">
        <v>28</v>
      </c>
      <c r="N6" t="s">
        <v>29</v>
      </c>
      <c r="O6" t="s">
        <v>30</v>
      </c>
      <c r="P6" t="s">
        <v>25</v>
      </c>
      <c r="Q6" s="1" t="str">
        <f t="shared" si="2"/>
        <v>Age</v>
      </c>
      <c r="R6" t="s">
        <v>31</v>
      </c>
      <c r="T6" t="s">
        <v>27</v>
      </c>
      <c r="V6" t="s">
        <v>32</v>
      </c>
      <c r="W6" t="str">
        <f t="shared" si="3"/>
        <v>Age=st.slider("Age",,)</v>
      </c>
    </row>
    <row r="7" spans="2:23" x14ac:dyDescent="0.25">
      <c r="B7" s="1" t="s">
        <v>25</v>
      </c>
      <c r="C7" s="2" t="s">
        <v>6</v>
      </c>
      <c r="D7" s="1" t="s">
        <v>25</v>
      </c>
      <c r="E7" t="s">
        <v>26</v>
      </c>
      <c r="F7" s="3" t="s">
        <v>25</v>
      </c>
      <c r="G7" s="2" t="s">
        <v>7</v>
      </c>
      <c r="H7" s="3" t="s">
        <v>25</v>
      </c>
      <c r="I7" t="s">
        <v>27</v>
      </c>
      <c r="J7" t="str">
        <f t="shared" si="0"/>
        <v>"Sex":"F",</v>
      </c>
      <c r="L7" s="1" t="str">
        <f t="shared" si="1"/>
        <v>Sex</v>
      </c>
      <c r="M7" t="s">
        <v>28</v>
      </c>
      <c r="N7" t="s">
        <v>29</v>
      </c>
      <c r="O7" t="s">
        <v>30</v>
      </c>
      <c r="P7" t="s">
        <v>25</v>
      </c>
      <c r="Q7" s="1" t="str">
        <f t="shared" si="2"/>
        <v>Sex</v>
      </c>
      <c r="R7" t="s">
        <v>31</v>
      </c>
      <c r="T7" t="s">
        <v>27</v>
      </c>
      <c r="V7" t="s">
        <v>32</v>
      </c>
      <c r="W7" t="str">
        <f t="shared" si="3"/>
        <v>Sex=st.slider("Sex",,)</v>
      </c>
    </row>
    <row r="8" spans="2:23" x14ac:dyDescent="0.25">
      <c r="B8" s="1" t="s">
        <v>25</v>
      </c>
      <c r="C8" s="2" t="s">
        <v>8</v>
      </c>
      <c r="D8" s="1" t="s">
        <v>25</v>
      </c>
      <c r="E8" t="s">
        <v>26</v>
      </c>
      <c r="F8" s="3" t="s">
        <v>25</v>
      </c>
      <c r="G8" s="2" t="s">
        <v>9</v>
      </c>
      <c r="H8" s="3" t="s">
        <v>25</v>
      </c>
      <c r="I8" t="s">
        <v>27</v>
      </c>
      <c r="J8" t="str">
        <f t="shared" si="0"/>
        <v>"Ascites":"Y",</v>
      </c>
      <c r="L8" s="1" t="str">
        <f t="shared" si="1"/>
        <v>Ascites</v>
      </c>
      <c r="M8" t="s">
        <v>28</v>
      </c>
      <c r="N8" t="s">
        <v>33</v>
      </c>
      <c r="O8" t="s">
        <v>30</v>
      </c>
      <c r="P8" t="s">
        <v>25</v>
      </c>
      <c r="Q8" s="1" t="str">
        <f t="shared" si="2"/>
        <v>Ascites</v>
      </c>
      <c r="R8" t="s">
        <v>31</v>
      </c>
      <c r="S8" t="s">
        <v>34</v>
      </c>
      <c r="T8" t="s">
        <v>27</v>
      </c>
      <c r="V8" t="s">
        <v>32</v>
      </c>
      <c r="W8" t="str">
        <f t="shared" si="3"/>
        <v>Ascites=st.selectbox("Ascites",label_encoder.classes_,)</v>
      </c>
    </row>
    <row r="9" spans="2:23" x14ac:dyDescent="0.25">
      <c r="B9" s="1" t="s">
        <v>25</v>
      </c>
      <c r="C9" s="2" t="s">
        <v>10</v>
      </c>
      <c r="D9" s="1" t="s">
        <v>25</v>
      </c>
      <c r="E9" t="s">
        <v>26</v>
      </c>
      <c r="F9" s="3" t="s">
        <v>25</v>
      </c>
      <c r="G9" s="2" t="s">
        <v>9</v>
      </c>
      <c r="H9" s="3" t="s">
        <v>25</v>
      </c>
      <c r="I9" t="s">
        <v>27</v>
      </c>
      <c r="J9" t="str">
        <f t="shared" si="0"/>
        <v>"Hepatomegaly":"Y",</v>
      </c>
      <c r="L9" s="1" t="str">
        <f t="shared" si="1"/>
        <v>Hepatomegaly</v>
      </c>
      <c r="M9" t="s">
        <v>28</v>
      </c>
      <c r="N9" t="s">
        <v>33</v>
      </c>
      <c r="O9" t="s">
        <v>30</v>
      </c>
      <c r="P9" t="s">
        <v>25</v>
      </c>
      <c r="Q9" s="1" t="str">
        <f t="shared" si="2"/>
        <v>Hepatomegaly</v>
      </c>
      <c r="R9" t="s">
        <v>31</v>
      </c>
      <c r="S9" t="s">
        <v>34</v>
      </c>
      <c r="V9" t="s">
        <v>32</v>
      </c>
      <c r="W9" t="str">
        <f t="shared" si="3"/>
        <v>Hepatomegaly=st.selectbox("Hepatomegaly",label_encoder.classes_)</v>
      </c>
    </row>
    <row r="10" spans="2:23" x14ac:dyDescent="0.25">
      <c r="B10" s="1" t="s">
        <v>25</v>
      </c>
      <c r="C10" s="2" t="s">
        <v>11</v>
      </c>
      <c r="D10" s="1" t="s">
        <v>25</v>
      </c>
      <c r="E10" t="s">
        <v>26</v>
      </c>
      <c r="F10" s="3" t="s">
        <v>25</v>
      </c>
      <c r="G10" s="2" t="s">
        <v>9</v>
      </c>
      <c r="H10" s="3" t="s">
        <v>25</v>
      </c>
      <c r="I10" t="s">
        <v>27</v>
      </c>
      <c r="J10" t="str">
        <f t="shared" si="0"/>
        <v>"Spiders":"Y",</v>
      </c>
      <c r="L10" s="1" t="str">
        <f t="shared" si="1"/>
        <v>Spiders</v>
      </c>
      <c r="M10" t="s">
        <v>28</v>
      </c>
      <c r="N10" t="s">
        <v>33</v>
      </c>
      <c r="O10" t="s">
        <v>30</v>
      </c>
      <c r="P10" t="s">
        <v>25</v>
      </c>
      <c r="Q10" s="1" t="str">
        <f t="shared" si="2"/>
        <v>Spiders</v>
      </c>
      <c r="R10" t="s">
        <v>31</v>
      </c>
      <c r="S10" t="s">
        <v>34</v>
      </c>
      <c r="V10" t="s">
        <v>32</v>
      </c>
      <c r="W10" t="str">
        <f t="shared" si="3"/>
        <v>Spiders=st.selectbox("Spiders",label_encoder.classes_)</v>
      </c>
    </row>
    <row r="11" spans="2:23" x14ac:dyDescent="0.25">
      <c r="B11" s="1" t="s">
        <v>25</v>
      </c>
      <c r="C11" s="2" t="s">
        <v>12</v>
      </c>
      <c r="D11" s="1" t="s">
        <v>25</v>
      </c>
      <c r="E11" t="s">
        <v>26</v>
      </c>
      <c r="F11" s="3" t="s">
        <v>25</v>
      </c>
      <c r="G11" s="2" t="s">
        <v>9</v>
      </c>
      <c r="H11" s="3" t="s">
        <v>25</v>
      </c>
      <c r="I11" t="s">
        <v>27</v>
      </c>
      <c r="J11" t="str">
        <f t="shared" si="0"/>
        <v>"Edema":"Y",</v>
      </c>
      <c r="L11" s="1" t="str">
        <f t="shared" si="1"/>
        <v>Edema</v>
      </c>
      <c r="M11" t="s">
        <v>28</v>
      </c>
      <c r="N11" t="s">
        <v>33</v>
      </c>
      <c r="O11" t="s">
        <v>30</v>
      </c>
      <c r="P11" t="s">
        <v>25</v>
      </c>
      <c r="Q11" s="1" t="str">
        <f t="shared" si="2"/>
        <v>Edema</v>
      </c>
      <c r="R11" t="s">
        <v>31</v>
      </c>
      <c r="S11" t="s">
        <v>34</v>
      </c>
      <c r="V11" t="s">
        <v>32</v>
      </c>
      <c r="W11" t="str">
        <f t="shared" si="3"/>
        <v>Edema=st.selectbox("Edema",label_encoder.classes_)</v>
      </c>
    </row>
    <row r="12" spans="2:23" x14ac:dyDescent="0.25">
      <c r="B12" s="1" t="s">
        <v>25</v>
      </c>
      <c r="C12" s="2" t="s">
        <v>13</v>
      </c>
      <c r="D12" s="1" t="s">
        <v>25</v>
      </c>
      <c r="E12" t="s">
        <v>26</v>
      </c>
      <c r="G12" s="2">
        <v>14.5</v>
      </c>
      <c r="I12" t="s">
        <v>27</v>
      </c>
      <c r="J12" t="str">
        <f t="shared" si="0"/>
        <v>"Bilirubin":14.5,</v>
      </c>
      <c r="L12" s="1" t="str">
        <f t="shared" si="1"/>
        <v>Bilirubin</v>
      </c>
      <c r="M12" t="s">
        <v>28</v>
      </c>
      <c r="N12" t="s">
        <v>29</v>
      </c>
      <c r="O12" t="s">
        <v>30</v>
      </c>
      <c r="P12" t="s">
        <v>25</v>
      </c>
      <c r="Q12" s="1" t="str">
        <f t="shared" si="2"/>
        <v>Bilirubin</v>
      </c>
      <c r="R12" t="s">
        <v>31</v>
      </c>
      <c r="T12" t="s">
        <v>27</v>
      </c>
      <c r="V12" t="s">
        <v>32</v>
      </c>
      <c r="W12" t="str">
        <f t="shared" si="3"/>
        <v>Bilirubin=st.slider("Bilirubin",,)</v>
      </c>
    </row>
    <row r="13" spans="2:23" x14ac:dyDescent="0.25">
      <c r="B13" s="1" t="s">
        <v>25</v>
      </c>
      <c r="C13" s="2" t="s">
        <v>14</v>
      </c>
      <c r="D13" s="1" t="s">
        <v>25</v>
      </c>
      <c r="E13" t="s">
        <v>26</v>
      </c>
      <c r="G13" s="2">
        <v>261</v>
      </c>
      <c r="I13" t="s">
        <v>27</v>
      </c>
      <c r="J13" t="str">
        <f t="shared" si="0"/>
        <v>"Cholesterol":261,</v>
      </c>
      <c r="L13" s="1" t="str">
        <f t="shared" si="1"/>
        <v>Cholesterol</v>
      </c>
      <c r="M13" t="s">
        <v>28</v>
      </c>
      <c r="N13" t="s">
        <v>29</v>
      </c>
      <c r="O13" t="s">
        <v>30</v>
      </c>
      <c r="P13" t="s">
        <v>25</v>
      </c>
      <c r="Q13" s="1" t="str">
        <f t="shared" si="2"/>
        <v>Cholesterol</v>
      </c>
      <c r="R13" t="s">
        <v>31</v>
      </c>
      <c r="T13" t="s">
        <v>27</v>
      </c>
      <c r="V13" t="s">
        <v>32</v>
      </c>
      <c r="W13" t="str">
        <f t="shared" si="3"/>
        <v>Cholesterol=st.slider("Cholesterol",,)</v>
      </c>
    </row>
    <row r="14" spans="2:23" x14ac:dyDescent="0.25">
      <c r="B14" s="1" t="s">
        <v>25</v>
      </c>
      <c r="C14" s="2" t="s">
        <v>15</v>
      </c>
      <c r="D14" s="1" t="s">
        <v>25</v>
      </c>
      <c r="E14" t="s">
        <v>26</v>
      </c>
      <c r="G14" s="2">
        <v>2.6</v>
      </c>
      <c r="I14" t="s">
        <v>27</v>
      </c>
      <c r="J14" t="str">
        <f t="shared" si="0"/>
        <v>"Albumin":2.6,</v>
      </c>
      <c r="L14" s="1" t="str">
        <f t="shared" si="1"/>
        <v>Albumin</v>
      </c>
      <c r="M14" t="s">
        <v>28</v>
      </c>
      <c r="N14" t="s">
        <v>29</v>
      </c>
      <c r="O14" t="s">
        <v>30</v>
      </c>
      <c r="P14" t="s">
        <v>25</v>
      </c>
      <c r="Q14" s="1" t="str">
        <f t="shared" si="2"/>
        <v>Albumin</v>
      </c>
      <c r="R14" t="s">
        <v>31</v>
      </c>
      <c r="T14" t="s">
        <v>27</v>
      </c>
      <c r="V14" t="s">
        <v>32</v>
      </c>
      <c r="W14" t="str">
        <f t="shared" si="3"/>
        <v>Albumin=st.slider("Albumin",,)</v>
      </c>
    </row>
    <row r="15" spans="2:23" x14ac:dyDescent="0.25">
      <c r="B15" s="1" t="s">
        <v>25</v>
      </c>
      <c r="C15" s="2" t="s">
        <v>16</v>
      </c>
      <c r="D15" s="1" t="s">
        <v>25</v>
      </c>
      <c r="E15" t="s">
        <v>26</v>
      </c>
      <c r="G15" s="2">
        <v>156</v>
      </c>
      <c r="I15" t="s">
        <v>27</v>
      </c>
      <c r="J15" t="str">
        <f t="shared" si="0"/>
        <v>"Copper":156,</v>
      </c>
      <c r="L15" s="1" t="str">
        <f t="shared" si="1"/>
        <v>Copper</v>
      </c>
      <c r="M15" t="s">
        <v>28</v>
      </c>
      <c r="N15" t="s">
        <v>29</v>
      </c>
      <c r="O15" t="s">
        <v>30</v>
      </c>
      <c r="P15" t="s">
        <v>25</v>
      </c>
      <c r="Q15" s="1" t="str">
        <f t="shared" si="2"/>
        <v>Copper</v>
      </c>
      <c r="R15" t="s">
        <v>31</v>
      </c>
      <c r="T15" t="s">
        <v>27</v>
      </c>
      <c r="V15" t="s">
        <v>32</v>
      </c>
      <c r="W15" t="str">
        <f t="shared" si="3"/>
        <v>Copper=st.slider("Copper",,)</v>
      </c>
    </row>
    <row r="16" spans="2:23" x14ac:dyDescent="0.25">
      <c r="B16" s="1" t="s">
        <v>25</v>
      </c>
      <c r="C16" s="2" t="s">
        <v>17</v>
      </c>
      <c r="D16" s="1" t="s">
        <v>25</v>
      </c>
      <c r="E16" t="s">
        <v>26</v>
      </c>
      <c r="G16" s="2">
        <v>1718</v>
      </c>
      <c r="I16" t="s">
        <v>27</v>
      </c>
      <c r="J16" t="str">
        <f t="shared" si="0"/>
        <v>"Alk_Phos":1718,</v>
      </c>
      <c r="L16" s="1" t="str">
        <f t="shared" si="1"/>
        <v>Alk_Phos</v>
      </c>
      <c r="M16" t="s">
        <v>28</v>
      </c>
      <c r="N16" t="s">
        <v>29</v>
      </c>
      <c r="O16" t="s">
        <v>30</v>
      </c>
      <c r="P16" t="s">
        <v>25</v>
      </c>
      <c r="Q16" s="1" t="str">
        <f t="shared" si="2"/>
        <v>Alk_Phos</v>
      </c>
      <c r="R16" t="s">
        <v>31</v>
      </c>
      <c r="T16" t="s">
        <v>27</v>
      </c>
      <c r="V16" t="s">
        <v>32</v>
      </c>
      <c r="W16" t="str">
        <f t="shared" si="3"/>
        <v>Alk_Phos=st.slider("Alk_Phos",,)</v>
      </c>
    </row>
    <row r="17" spans="2:23" x14ac:dyDescent="0.25">
      <c r="B17" s="1" t="s">
        <v>25</v>
      </c>
      <c r="C17" s="2" t="s">
        <v>18</v>
      </c>
      <c r="D17" s="1" t="s">
        <v>25</v>
      </c>
      <c r="E17" t="s">
        <v>26</v>
      </c>
      <c r="G17" s="2">
        <v>137.94999999999999</v>
      </c>
      <c r="I17" t="s">
        <v>27</v>
      </c>
      <c r="J17" t="str">
        <f t="shared" si="0"/>
        <v>"SGOT":137.95,</v>
      </c>
      <c r="L17" s="1" t="str">
        <f t="shared" si="1"/>
        <v>SGOT</v>
      </c>
      <c r="M17" t="s">
        <v>28</v>
      </c>
      <c r="N17" t="s">
        <v>29</v>
      </c>
      <c r="O17" t="s">
        <v>30</v>
      </c>
      <c r="P17" t="s">
        <v>25</v>
      </c>
      <c r="Q17" s="1" t="str">
        <f t="shared" si="2"/>
        <v>SGOT</v>
      </c>
      <c r="R17" t="s">
        <v>31</v>
      </c>
      <c r="T17" t="s">
        <v>27</v>
      </c>
      <c r="V17" t="s">
        <v>32</v>
      </c>
      <c r="W17" t="str">
        <f t="shared" si="3"/>
        <v>SGOT=st.slider("SGOT",,)</v>
      </c>
    </row>
    <row r="18" spans="2:23" x14ac:dyDescent="0.25">
      <c r="B18" s="1" t="s">
        <v>25</v>
      </c>
      <c r="C18" s="2" t="s">
        <v>19</v>
      </c>
      <c r="D18" s="1" t="s">
        <v>25</v>
      </c>
      <c r="E18" t="s">
        <v>26</v>
      </c>
      <c r="G18" s="2">
        <v>172</v>
      </c>
      <c r="I18" t="s">
        <v>27</v>
      </c>
      <c r="J18" t="str">
        <f t="shared" si="0"/>
        <v>"Tryglicerides":172,</v>
      </c>
      <c r="L18" s="1" t="str">
        <f t="shared" si="1"/>
        <v>Tryglicerides</v>
      </c>
      <c r="M18" t="s">
        <v>28</v>
      </c>
      <c r="N18" t="s">
        <v>29</v>
      </c>
      <c r="O18" t="s">
        <v>30</v>
      </c>
      <c r="P18" t="s">
        <v>25</v>
      </c>
      <c r="Q18" s="1" t="str">
        <f t="shared" si="2"/>
        <v>Tryglicerides</v>
      </c>
      <c r="R18" t="s">
        <v>31</v>
      </c>
      <c r="T18" t="s">
        <v>27</v>
      </c>
      <c r="V18" t="s">
        <v>32</v>
      </c>
      <c r="W18" t="str">
        <f t="shared" si="3"/>
        <v>Tryglicerides=st.slider("Tryglicerides",,)</v>
      </c>
    </row>
    <row r="19" spans="2:23" x14ac:dyDescent="0.25">
      <c r="B19" s="1" t="s">
        <v>25</v>
      </c>
      <c r="C19" s="2" t="s">
        <v>20</v>
      </c>
      <c r="D19" s="1" t="s">
        <v>25</v>
      </c>
      <c r="E19" t="s">
        <v>26</v>
      </c>
      <c r="G19" s="2">
        <v>190</v>
      </c>
      <c r="I19" t="s">
        <v>27</v>
      </c>
      <c r="J19" t="str">
        <f t="shared" si="0"/>
        <v>"Platelets":190,</v>
      </c>
      <c r="L19" s="1" t="str">
        <f t="shared" si="1"/>
        <v>Platelets</v>
      </c>
      <c r="M19" t="s">
        <v>28</v>
      </c>
      <c r="N19" t="s">
        <v>29</v>
      </c>
      <c r="O19" t="s">
        <v>30</v>
      </c>
      <c r="P19" t="s">
        <v>25</v>
      </c>
      <c r="Q19" s="1" t="str">
        <f t="shared" si="2"/>
        <v>Platelets</v>
      </c>
      <c r="R19" t="s">
        <v>31</v>
      </c>
      <c r="T19" t="s">
        <v>27</v>
      </c>
      <c r="V19" t="s">
        <v>32</v>
      </c>
      <c r="W19" t="str">
        <f t="shared" si="3"/>
        <v>Platelets=st.slider("Platelets",,)</v>
      </c>
    </row>
    <row r="20" spans="2:23" x14ac:dyDescent="0.25">
      <c r="B20" s="1" t="s">
        <v>25</v>
      </c>
      <c r="C20" s="2" t="s">
        <v>21</v>
      </c>
      <c r="D20" s="1" t="s">
        <v>25</v>
      </c>
      <c r="E20" t="s">
        <v>26</v>
      </c>
      <c r="G20" s="2">
        <v>12.2</v>
      </c>
      <c r="I20" t="s">
        <v>27</v>
      </c>
      <c r="J20" t="str">
        <f t="shared" si="0"/>
        <v>"Prothrombin":12.2,</v>
      </c>
      <c r="L20" s="1" t="str">
        <f t="shared" si="1"/>
        <v>Prothrombin</v>
      </c>
      <c r="M20" t="s">
        <v>28</v>
      </c>
      <c r="N20" t="s">
        <v>29</v>
      </c>
      <c r="O20" t="s">
        <v>30</v>
      </c>
      <c r="P20" t="s">
        <v>25</v>
      </c>
      <c r="Q20" s="1" t="str">
        <f t="shared" si="2"/>
        <v>Prothrombin</v>
      </c>
      <c r="R20" t="s">
        <v>31</v>
      </c>
      <c r="T20" t="s">
        <v>27</v>
      </c>
      <c r="V20" t="s">
        <v>32</v>
      </c>
      <c r="W20" t="str">
        <f t="shared" si="3"/>
        <v>Prothrombin=st.slider("Prothrombin",,)</v>
      </c>
    </row>
    <row r="21" spans="2:23" x14ac:dyDescent="0.25">
      <c r="B21" s="1" t="s">
        <v>25</v>
      </c>
      <c r="C21" s="2" t="s">
        <v>39</v>
      </c>
      <c r="D21" s="1" t="s">
        <v>25</v>
      </c>
      <c r="E21" t="s">
        <v>26</v>
      </c>
      <c r="G21" s="2">
        <v>4</v>
      </c>
      <c r="I21" t="s">
        <v>27</v>
      </c>
      <c r="J21" t="str">
        <f t="shared" ref="J21" si="4">_xlfn.CONCAT(B21:I21)</f>
        <v>"Stage":4,</v>
      </c>
      <c r="L21" s="1" t="str">
        <f t="shared" ref="L21" si="5">C21</f>
        <v>Stage</v>
      </c>
      <c r="M21" t="s">
        <v>28</v>
      </c>
      <c r="N21" t="s">
        <v>29</v>
      </c>
      <c r="O21" t="s">
        <v>30</v>
      </c>
      <c r="P21" t="s">
        <v>25</v>
      </c>
      <c r="Q21" s="1" t="str">
        <f t="shared" ref="Q21" si="6">L21</f>
        <v>Stage</v>
      </c>
      <c r="R21" t="s">
        <v>31</v>
      </c>
      <c r="T21" t="s">
        <v>27</v>
      </c>
      <c r="V21" t="s">
        <v>32</v>
      </c>
      <c r="W21" t="str">
        <f t="shared" ref="W21" si="7">_xlfn.CONCAT(L21:V21)</f>
        <v>Stage=st.slider("Stage",,)</v>
      </c>
    </row>
  </sheetData>
  <autoFilter ref="B3:W20" xr:uid="{C39DEFC4-9E9D-489C-97DC-867C34F2444E}"/>
  <conditionalFormatting sqref="H5:H11">
    <cfRule type="uniqu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Vadhirajan</dc:creator>
  <cp:lastModifiedBy>Vikram Vadhirajan</cp:lastModifiedBy>
  <dcterms:created xsi:type="dcterms:W3CDTF">2026-03-09T11:34:51Z</dcterms:created>
  <dcterms:modified xsi:type="dcterms:W3CDTF">2026-03-09T15:09:09Z</dcterms:modified>
</cp:coreProperties>
</file>